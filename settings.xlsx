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131"/>
  <workbookPr/>
  <mc:AlternateContent xmlns:mc="http://schemas.openxmlformats.org/markup-compatibility/2006">
    <mc:Choice Requires="x15">
      <x15ac:absPath xmlns:x15ac="http://schemas.microsoft.com/office/spreadsheetml/2010/11/ac" url="C:\Users\mkddi\OneDrive\Bureau\Nouveau dossier (3)\code\"/>
    </mc:Choice>
  </mc:AlternateContent>
  <xr:revisionPtr revIDLastSave="0" documentId="13_ncr:1_{CA3CBEB9-E026-45AE-8671-92489F3DFE7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Laminate conf" sheetId="1" r:id="rId1"/>
    <sheet name="Forces and Moments" sheetId="2" r:id="rId2"/>
    <sheet name="Matrix" sheetId="3" r:id="rId3"/>
    <sheet name="Fibers" sheetId="4" r:id="rId4"/>
  </sheets>
  <externalReferences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E5" i="1"/>
  <c r="D5" i="1"/>
  <c r="F3" i="1"/>
  <c r="F4" i="1"/>
  <c r="F2" i="1"/>
  <c r="E3" i="1"/>
  <c r="E4" i="1"/>
  <c r="E2" i="1"/>
  <c r="D3" i="1"/>
  <c r="D4" i="1"/>
  <c r="D2" i="1"/>
</calcChain>
</file>

<file path=xl/sharedStrings.xml><?xml version="1.0" encoding="utf-8"?>
<sst xmlns="http://schemas.openxmlformats.org/spreadsheetml/2006/main" count="34" uniqueCount="33">
  <si>
    <t>Ply N°</t>
  </si>
  <si>
    <t>Fiber</t>
  </si>
  <si>
    <t>Matrix</t>
  </si>
  <si>
    <t>Fiber
 Volume</t>
  </si>
  <si>
    <t>Fibers
Orientation</t>
  </si>
  <si>
    <t>Ply thickness (mm)</t>
  </si>
  <si>
    <t>Nx (N)</t>
  </si>
  <si>
    <t>Ny (N)</t>
  </si>
  <si>
    <t>Nxy (N)</t>
  </si>
  <si>
    <t>Mx (N.m)</t>
  </si>
  <si>
    <t>My (N.m)</t>
  </si>
  <si>
    <t>Mxy (N.m)</t>
  </si>
  <si>
    <t>Laminate dimensions:</t>
  </si>
  <si>
    <t>Lx (m)</t>
  </si>
  <si>
    <t>Ly (m)</t>
  </si>
  <si>
    <t>Name</t>
  </si>
  <si>
    <t>E (GPa)</t>
  </si>
  <si>
    <t>G (GPa)</t>
  </si>
  <si>
    <t>v</t>
  </si>
  <si>
    <t>Ft (MPa)</t>
  </si>
  <si>
    <t>Fc (MPa)</t>
  </si>
  <si>
    <t>Fms (MPa)</t>
  </si>
  <si>
    <t>Epoxy (3501-6)</t>
  </si>
  <si>
    <t>Polyesters</t>
  </si>
  <si>
    <t>Vinylester (Derakane)</t>
  </si>
  <si>
    <t>Glt-(GPa)</t>
  </si>
  <si>
    <t>vlt</t>
  </si>
  <si>
    <t>Flt-(Mpa)</t>
  </si>
  <si>
    <t>E-Glass</t>
  </si>
  <si>
    <t>AS-4 Carbon</t>
  </si>
  <si>
    <t>Kevlar 49 Aramid</t>
  </si>
  <si>
    <t>Et(GPa)</t>
  </si>
  <si>
    <t>El(GPa)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</si>
</sst>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9"/>
      <color rgb="FF000000"/>
      <name val="CMTT9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caaeaf64abb1a7/Bureau/COMPOSITE/code/excel_files/fibers_mechanical_properti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54caaeaf64abb1a7/Bureau/COMPOSITE/code/excel_files/matrix_mechanical_proper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3">
          <cell r="A3" t="str">
            <v>AS-4 Carbon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</sheetNames>
    <sheetDataSet>
      <sheetData sheetId="0">
        <row r="2">
          <cell r="A2" t="str">
            <v>Epoxy (3501-6)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"/>
  <sheetViews>
    <sheetView tabSelected="1" workbookViewId="0">
      <selection activeCell="J1" sqref="J1:L3"/>
    </sheetView>
  </sheetViews>
  <sheetFormatPr baseColWidth="10" defaultColWidth="9.140625" defaultRowHeight="15"/>
  <cols>
    <col min="4" max="4" width="15.140625" customWidth="1"/>
    <col min="6" max="6" width="16.42578125" customWidth="1"/>
    <col min="7" max="7" width="17.5703125" customWidth="1"/>
    <col min="10" max="10" width="20.28515625" customWidth="1"/>
  </cols>
  <sheetData>
    <row r="1" spans="1:12" ht="45">
      <c r="A1" s="1" t="s">
        <v>0</v>
      </c>
      <c r="B1" s="1"/>
      <c r="C1" s="2" t="s">
        <v>4</v>
      </c>
      <c r="D1" s="1" t="s">
        <v>1</v>
      </c>
      <c r="E1" s="2" t="s">
        <v>3</v>
      </c>
      <c r="F1" s="1" t="s">
        <v>2</v>
      </c>
      <c r="G1" s="1" t="s">
        <v>5</v>
      </c>
      <c r="J1" t="s">
        <v>12</v>
      </c>
      <c r="K1" t="s">
        <v>13</v>
      </c>
      <c r="L1" t="s">
        <v>14</v>
      </c>
    </row>
    <row r="2" spans="1:12">
      <c r="A2">
        <v>1</v>
      </c>
      <c r="C2">
        <v>0</v>
      </c>
      <c r="D2" t="str">
        <f>[1]Feuil1!$A$3</f>
        <v>AS-4 Carbon</v>
      </c>
      <c r="E2">
        <f>0.63</f>
        <v>0.63</v>
      </c>
      <c r="F2" t="str">
        <f>[2]Feuil1!$A$2</f>
        <v>Epoxy (3501-6)</v>
      </c>
      <c r="G2">
        <v>0.15</v>
      </c>
      <c r="K2">
        <v>0.25</v>
      </c>
      <c r="L2">
        <v>0.125</v>
      </c>
    </row>
    <row r="3" spans="1:12">
      <c r="A3">
        <v>2</v>
      </c>
      <c r="C3">
        <v>90</v>
      </c>
      <c r="D3" t="str">
        <f>[1]Feuil1!$A$3</f>
        <v>AS-4 Carbon</v>
      </c>
      <c r="E3">
        <f t="shared" ref="E3:E5" si="0">0.63</f>
        <v>0.63</v>
      </c>
      <c r="F3" t="str">
        <f>[2]Feuil1!$A$2</f>
        <v>Epoxy (3501-6)</v>
      </c>
      <c r="G3">
        <v>0.15</v>
      </c>
    </row>
    <row r="4" spans="1:12">
      <c r="A4">
        <v>3</v>
      </c>
      <c r="C4">
        <v>90</v>
      </c>
      <c r="D4" t="str">
        <f>[1]Feuil1!$A$3</f>
        <v>AS-4 Carbon</v>
      </c>
      <c r="E4">
        <f t="shared" si="0"/>
        <v>0.63</v>
      </c>
      <c r="F4" t="str">
        <f>[2]Feuil1!$A$2</f>
        <v>Epoxy (3501-6)</v>
      </c>
      <c r="G4">
        <v>0.15</v>
      </c>
    </row>
    <row r="5" spans="1:12">
      <c r="A5">
        <v>4</v>
      </c>
      <c r="C5">
        <v>0</v>
      </c>
      <c r="D5" t="str">
        <f>[1]Feuil1!$A$3</f>
        <v>AS-4 Carbon</v>
      </c>
      <c r="E5">
        <f t="shared" si="0"/>
        <v>0.63</v>
      </c>
      <c r="F5" t="str">
        <f>[2]Feuil1!$A$2</f>
        <v>Epoxy (3501-6)</v>
      </c>
      <c r="G5">
        <v>0.15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C2598-72D9-4AE4-92CD-D72998AC98F4}">
  <dimension ref="A1:F2"/>
  <sheetViews>
    <sheetView workbookViewId="0">
      <selection activeCell="B2" sqref="B2:F2"/>
    </sheetView>
  </sheetViews>
  <sheetFormatPr baseColWidth="10" defaultRowHeight="15"/>
  <sheetData>
    <row r="1" spans="1:6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</row>
    <row r="2" spans="1:6">
      <c r="A2">
        <v>6300</v>
      </c>
      <c r="B2">
        <v>0</v>
      </c>
      <c r="C2">
        <v>0</v>
      </c>
      <c r="D2">
        <v>0</v>
      </c>
      <c r="E2">
        <v>0</v>
      </c>
      <c r="F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E924C-D4C1-44A5-9182-2D6E0776422A}">
  <dimension ref="A1:G5"/>
  <sheetViews>
    <sheetView workbookViewId="0">
      <selection activeCell="B1" sqref="B1:G1"/>
    </sheetView>
  </sheetViews>
  <sheetFormatPr baseColWidth="10" defaultRowHeight="15"/>
  <cols>
    <col min="1" max="1" width="21" customWidth="1"/>
  </cols>
  <sheetData>
    <row r="1" spans="1:7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</row>
    <row r="2" spans="1:7">
      <c r="A2" t="s">
        <v>22</v>
      </c>
      <c r="B2">
        <v>4.3</v>
      </c>
      <c r="C2">
        <v>1.6</v>
      </c>
      <c r="D2">
        <v>0.3</v>
      </c>
      <c r="E2">
        <v>69</v>
      </c>
      <c r="F2">
        <v>200</v>
      </c>
      <c r="G2">
        <v>100</v>
      </c>
    </row>
    <row r="3" spans="1:7">
      <c r="A3" t="s">
        <v>23</v>
      </c>
      <c r="B3">
        <v>3.3</v>
      </c>
      <c r="C3">
        <v>1.35</v>
      </c>
      <c r="D3">
        <v>0.35</v>
      </c>
      <c r="E3">
        <v>65</v>
      </c>
      <c r="F3">
        <v>170</v>
      </c>
      <c r="G3">
        <v>45</v>
      </c>
    </row>
    <row r="4" spans="1:7">
      <c r="A4" t="s">
        <v>24</v>
      </c>
      <c r="B4">
        <v>4</v>
      </c>
      <c r="C4">
        <v>1.5</v>
      </c>
      <c r="D4">
        <v>0.35</v>
      </c>
      <c r="E4">
        <v>77.5</v>
      </c>
      <c r="F4">
        <v>127</v>
      </c>
      <c r="G4">
        <v>53</v>
      </c>
    </row>
    <row r="5" spans="1:7">
      <c r="C5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C9323-85B6-4484-BBC4-1A027EA0341F}">
  <dimension ref="A1:F4"/>
  <sheetViews>
    <sheetView workbookViewId="0">
      <selection activeCell="F5" sqref="A5:F5"/>
    </sheetView>
  </sheetViews>
  <sheetFormatPr baseColWidth="10" defaultRowHeight="15"/>
  <sheetData>
    <row r="1" spans="1:6">
      <c r="A1" t="s">
        <v>15</v>
      </c>
      <c r="B1" t="s">
        <v>32</v>
      </c>
      <c r="C1" t="s">
        <v>31</v>
      </c>
      <c r="D1" t="s">
        <v>25</v>
      </c>
      <c r="E1" t="s">
        <v>26</v>
      </c>
      <c r="F1" t="s">
        <v>27</v>
      </c>
    </row>
    <row r="2" spans="1:6">
      <c r="A2" t="s">
        <v>28</v>
      </c>
      <c r="B2">
        <v>73</v>
      </c>
      <c r="C2">
        <v>73</v>
      </c>
      <c r="D2">
        <v>30</v>
      </c>
      <c r="E2">
        <v>0.23</v>
      </c>
      <c r="F2">
        <v>3450</v>
      </c>
    </row>
    <row r="3" spans="1:6">
      <c r="A3" t="s">
        <v>29</v>
      </c>
      <c r="B3">
        <v>235</v>
      </c>
      <c r="C3">
        <v>15</v>
      </c>
      <c r="D3">
        <v>27</v>
      </c>
      <c r="E3">
        <v>0.2</v>
      </c>
      <c r="F3">
        <v>3700</v>
      </c>
    </row>
    <row r="4" spans="1:6">
      <c r="A4" t="s">
        <v>30</v>
      </c>
      <c r="B4">
        <v>131</v>
      </c>
      <c r="C4">
        <v>7</v>
      </c>
      <c r="D4">
        <v>21</v>
      </c>
      <c r="E4">
        <v>0.33</v>
      </c>
      <c r="F4">
        <v>3800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Laminate conf</vt:lpstr>
      <vt:lpstr>Forces and Moments</vt:lpstr>
      <vt:lpstr>Matrix</vt:lpstr>
      <vt:lpstr>Fibers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Moussa Kantibo DIEDHIOU</dc:creator>
  <cp:lastModifiedBy>Moussa Kantibo DIEDHIOU</cp:lastModifiedBy>
  <dcterms:created xsi:type="dcterms:W3CDTF">2015-06-05T18:17:20Z</dcterms:created>
  <dcterms:modified xsi:type="dcterms:W3CDTF">2021-07-16T01:13:27Z</dcterms:modified>
</cp:coreProperties>
</file>